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Maturity Assessment" sheetId="2" state="visible" r:id="rId4"/>
    <sheet name="Function Summary" sheetId="3" state="visible" r:id="rId5"/>
    <sheet name="Roadmap" sheetId="4" state="visible" r:id="rId6"/>
  </sheets>
  <definedNames>
    <definedName function="false" hidden="true" localSheetId="1" name="_xlnm._FilterDatabase" vbProcedure="false">'Maturity Assessment'!$A$1:$L$23</definedName>
    <definedName function="false" hidden="true" localSheetId="3" name="_xlnm._FilterDatabase" vbProcedure="false">Roadmap!$B$5:$H$27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<sst xmlns="http://schemas.openxmlformats.org/spreadsheetml/2006/main" count="380" uniqueCount="184">
  <si>
    <t xml:space="preserve">NIST Cybersecurity Framework (CSF) 2.0</t>
  </si>
  <si>
    <t xml:space="preserve">Cybersecurity Maturity &amp; Gap Assessment — Solstice Logistics Group Ltd (fictional company, illustrative purposes)</t>
  </si>
  <si>
    <t xml:space="preserve">DISCLAIMER: Solstice Logistics Group Ltd is a fictional company created for portfolio purposes only. No real organisation, employee, customer, or data is represented. This assessment was built to demonstrate NIST CSF 2.0 maturity assessment methodology in a road freight and warehousing operating context.</t>
  </si>
  <si>
    <t xml:space="preserve">Company Context</t>
  </si>
  <si>
    <t xml:space="preserve">Solstice Logistics Group Ltd is a fictional UK road freight and warehousing operator with a fleet telematics platform, a warehouse management system (WMS), and EDI integrations with retail and manufacturing customers. This operating profile — logistics rather than financial services — is used deliberately to keep this assessment self-contained and unrelated to any other portfolio piece.</t>
  </si>
  <si>
    <t xml:space="preserve">Purpose</t>
  </si>
  <si>
    <t xml:space="preserve">This assessment evaluates Solstice's cybersecurity maturity against the NIST Cybersecurity Framework (CSF) 2.0, covering all six Functions — Govern, Identify, Protect, Detect, Respond, and Recover — and their 22 constituent Categories. It identifies the gap between current and target maturity and prioritises remediation into a roadmap.</t>
  </si>
  <si>
    <t xml:space="preserve">Maturity Scale</t>
  </si>
  <si>
    <t xml:space="preserve">Each Category is scored 0–4 for both Current and Target maturity, using the scale defined below. Target maturity reflects the level judged appropriate for a mid-size logistics operator handling commercially sensitive customer data and operationally critical systems — not every category needs to reach the maximum score.</t>
  </si>
  <si>
    <t xml:space="preserve">Gap &amp; Priority</t>
  </si>
  <si>
    <t xml:space="preserve">Gap = Target Maturity minus Current Maturity. Priority is derived directly from the size of the gap (0 = None, 1 = Low, 2 = Medium, 3 = High, 4 = Critical) and is used to sequence the roadmap on the 'Roadmap' tab.</t>
  </si>
  <si>
    <t xml:space="preserve">How to use this workbook</t>
  </si>
  <si>
    <t xml:space="preserve">Tab 1 (this sheet) — methodology and document control. Tab 2 — Maturity Assessment, the full scored assessment across all 22 categories. Tab 3 — Function Summary, average maturity per Function with a current-vs-target chart. Tab 4 — Roadmap, prioritised actions grouped by target quarter.</t>
  </si>
  <si>
    <t xml:space="preserve">Not Performed — No process exists; the activity is not carried out.</t>
  </si>
  <si>
    <t xml:space="preserve">Ad Hoc / Initial — Performed informally and inconsistently; undocumented and person-dependent.</t>
  </si>
  <si>
    <t xml:space="preserve">Repeatable — Performed consistently, but reactive and not fully documented or standardised.</t>
  </si>
  <si>
    <t xml:space="preserve">Defined — Documented, standardised, and proactively managed across the organisation.</t>
  </si>
  <si>
    <t xml:space="preserve">Managed &amp; Measurable — Quantitatively measured, regularly reviewed, and continuously improved.</t>
  </si>
  <si>
    <t xml:space="preserve">Document Control</t>
  </si>
  <si>
    <t xml:space="preserve">Field</t>
  </si>
  <si>
    <t xml:space="preserve">Detail</t>
  </si>
  <si>
    <t xml:space="preserve">Document Title</t>
  </si>
  <si>
    <t xml:space="preserve">Solstice Logistics Group Ltd — NIST CSF 2.0 Cybersecurity Maturity &amp; Gap Assessment</t>
  </si>
  <si>
    <t xml:space="preserve">Version</t>
  </si>
  <si>
    <t xml:space="preserve">1.0</t>
  </si>
  <si>
    <t xml:space="preserve">Classification</t>
  </si>
  <si>
    <t xml:space="preserve">Portfolio / Illustrative — Fictional Data (see disclaimer above)</t>
  </si>
  <si>
    <t xml:space="preserve">Author</t>
  </si>
  <si>
    <t xml:space="preserve">Chigozirim Obianika</t>
  </si>
  <si>
    <t xml:space="preserve">Date Created</t>
  </si>
  <si>
    <t xml:space="preserve">2025-09-15</t>
  </si>
  <si>
    <t xml:space="preserve">Last Reviewed</t>
  </si>
  <si>
    <t xml:space="preserve">Next Review Due</t>
  </si>
  <si>
    <t xml:space="preserve">2026-03-15 (or upon significant change to threat landscape or business scope)</t>
  </si>
  <si>
    <t xml:space="preserve">Approved By</t>
  </si>
  <si>
    <t xml:space="preserve">Risk Owner - Head of IT &amp; Security (fictional approver, for illustrative sign-off)</t>
  </si>
  <si>
    <t xml:space="preserve">Function</t>
  </si>
  <si>
    <t xml:space="preserve">Category ID</t>
  </si>
  <si>
    <t xml:space="preserve">Category Name</t>
  </si>
  <si>
    <t xml:space="preserve">Category Focus</t>
  </si>
  <si>
    <t xml:space="preserve">Current Maturity (0-4)</t>
  </si>
  <si>
    <t xml:space="preserve">Target Maturity (0-4)</t>
  </si>
  <si>
    <t xml:space="preserve">Gap</t>
  </si>
  <si>
    <t xml:space="preserve">Priority</t>
  </si>
  <si>
    <t xml:space="preserve">Evidence / Notes</t>
  </si>
  <si>
    <t xml:space="preserve">Recommended Actions</t>
  </si>
  <si>
    <t xml:space="preserve">Owner</t>
  </si>
  <si>
    <t xml:space="preserve">Target Quarter</t>
  </si>
  <si>
    <t xml:space="preserve">Govern</t>
  </si>
  <si>
    <t xml:space="preserve">GV.OC</t>
  </si>
  <si>
    <t xml:space="preserve">Organizational Context</t>
  </si>
  <si>
    <t xml:space="preserve">Understanding of mission, stakeholders, and legal/regulatory requirements that inform cybersecurity risk decisions.</t>
  </si>
  <si>
    <t xml:space="preserve">Basic awareness of GDPR obligations for customer/driver data; no formal statement linking business context to security priorities.</t>
  </si>
  <si>
    <t xml:space="preserve">Document a formal organisational context statement covering data protection obligations, customer contractual security requirements, and key operational dependencies (telematics, WMS).</t>
  </si>
  <si>
    <t xml:space="preserve">Risk Owner - Head of IT &amp; Security</t>
  </si>
  <si>
    <t xml:space="preserve">Q1 2026</t>
  </si>
  <si>
    <t xml:space="preserve">GV.RM</t>
  </si>
  <si>
    <t xml:space="preserve">Risk Management Strategy</t>
  </si>
  <si>
    <t xml:space="preserve">Organisational risk appetite, tolerance, and strategy established to support operational risk decisions.</t>
  </si>
  <si>
    <t xml:space="preserve">No documented risk appetite; decisions on security spend made ad hoc by IT lead without board sign-off.</t>
  </si>
  <si>
    <t xml:space="preserve">Draft and board-approve a written risk appetite statement, distinguishing operational/safety risk (fleet, warehouse) from data/cyber risk.</t>
  </si>
  <si>
    <t xml:space="preserve">Risk Owner - Finance Director</t>
  </si>
  <si>
    <t xml:space="preserve">GV.RR</t>
  </si>
  <si>
    <t xml:space="preserve">Roles, Responsibilities &amp; Authorities</t>
  </si>
  <si>
    <t xml:space="preserve">Cybersecurity roles, responsibilities and authorities established and communicated across the organisation.</t>
  </si>
  <si>
    <t xml:space="preserve">Security responsibilities sit informally with the IT Manager alongside day-to-day helpdesk duties; no formal mandate or budget authority.</t>
  </si>
  <si>
    <t xml:space="preserve">Formalise a named security accountability structure with defined authority, even if part-time, and communicate it to department heads.</t>
  </si>
  <si>
    <t xml:space="preserve">Risk Owner - Managing Director</t>
  </si>
  <si>
    <t xml:space="preserve">Q4 2025</t>
  </si>
  <si>
    <t xml:space="preserve">GV.PO</t>
  </si>
  <si>
    <t xml:space="preserve">Policy</t>
  </si>
  <si>
    <t xml:space="preserve">Organisational cybersecurity policy established, communicated, and enforced.</t>
  </si>
  <si>
    <t xml:space="preserve">An acceptable use policy exists from 2021 and has not been reviewed since; no policy covering cloud services or mobile devices used by drivers.</t>
  </si>
  <si>
    <t xml:space="preserve">Refresh and expand the policy set (acceptable use, access control, mobile device use for driver handhelds) with an annual review cycle.</t>
  </si>
  <si>
    <t xml:space="preserve">GV.OV</t>
  </si>
  <si>
    <t xml:space="preserve">Oversight</t>
  </si>
  <si>
    <t xml:space="preserve">Results of organisation-wide risk management activities reviewed and used to inform senior leadership decisions.</t>
  </si>
  <si>
    <t xml:space="preserve">No standing security item on the leadership team agenda; issues are only escalated after something goes wrong.</t>
  </si>
  <si>
    <t xml:space="preserve">Add a quarterly security and operational-risk summary to the leadership team agenda.</t>
  </si>
  <si>
    <t xml:space="preserve">Q2 2026</t>
  </si>
  <si>
    <t xml:space="preserve">GV.SC</t>
  </si>
  <si>
    <t xml:space="preserve">Cybersecurity Supply Chain Risk Management</t>
  </si>
  <si>
    <t xml:space="preserve">Processes to identify, assess, and manage cybersecurity risk in suppliers and third-party relationships.</t>
  </si>
  <si>
    <t xml:space="preserve">The telematics and WMS vendors were selected on functionality and cost; no security due diligence was performed at procurement.</t>
  </si>
  <si>
    <t xml:space="preserve">Introduce a basic security questionnaire for new suppliers with access to operational systems or customer data, starting with the two core platform vendors.</t>
  </si>
  <si>
    <t xml:space="preserve">Risk Owner - Operations Director</t>
  </si>
  <si>
    <t xml:space="preserve">Identify</t>
  </si>
  <si>
    <t xml:space="preserve">ID.AM</t>
  </si>
  <si>
    <t xml:space="preserve">Asset Management</t>
  </si>
  <si>
    <t xml:space="preserve">Assets (data, devices, systems, software) are inventoried and managed consistent with their relative importance.</t>
  </si>
  <si>
    <t xml:space="preserve">A spreadsheet lists company laptops and servers but excludes driver handheld devices and warehouse scanners.</t>
  </si>
  <si>
    <t xml:space="preserve">Extend the asset inventory to cover all connected devices, including driver handhelds and warehouse scanning equipment, with an owner per asset.</t>
  </si>
  <si>
    <t xml:space="preserve">ID.RA</t>
  </si>
  <si>
    <t xml:space="preserve">Risk Assessment</t>
  </si>
  <si>
    <t xml:space="preserve">The organisation understands the cybersecurity risk to its operations, assets, and individuals.</t>
  </si>
  <si>
    <t xml:space="preserve">No documented risk assessment exists; risk is discussed informally when an incident occurs, not proactively.</t>
  </si>
  <si>
    <t xml:space="preserve">Establish a basic risk register covering the core operational systems (WMS, telematics, EDI links) and review it twice yearly.</t>
  </si>
  <si>
    <t xml:space="preserve">ID.IM</t>
  </si>
  <si>
    <t xml:space="preserve">Improvement</t>
  </si>
  <si>
    <t xml:space="preserve">Improvements to organisational cybersecurity risk management are identified across all Functions.</t>
  </si>
  <si>
    <t xml:space="preserve">No mechanism exists to capture lessons from IT incidents; the same issues have recurred (e.g. repeated phishing reports) without root-cause follow-up.</t>
  </si>
  <si>
    <t xml:space="preserve">Introduce a simple post-incident review template and log recurring issues to inform future priorities.</t>
  </si>
  <si>
    <t xml:space="preserve">Protect</t>
  </si>
  <si>
    <t xml:space="preserve">PR.AA</t>
  </si>
  <si>
    <t xml:space="preserve">Identity Management, Authentication &amp; Access Control</t>
  </si>
  <si>
    <t xml:space="preserve">Access to assets is limited to authorised users, services, and devices, and is managed consistent with risk.</t>
  </si>
  <si>
    <t xml:space="preserve">Shared logins are used on several warehouse terminals for speed of shift changeover; MFA is not enabled on the WMS admin console.</t>
  </si>
  <si>
    <t xml:space="preserve">Move to individual logins on warehouse terminals with role-based permissions, and enforce MFA on all administrative access to the WMS and telematics platform.</t>
  </si>
  <si>
    <t xml:space="preserve">PR.AT</t>
  </si>
  <si>
    <t xml:space="preserve">Awareness and Training</t>
  </si>
  <si>
    <t xml:space="preserve">Personnel are provided cybersecurity awareness education and are adequately trained.</t>
  </si>
  <si>
    <t xml:space="preserve">Office staff received a one-off induction briefing; warehouse and driver staff have received no security awareness training at all.</t>
  </si>
  <si>
    <t xml:space="preserve">Introduce a short, role-appropriate awareness session for warehouse and driver staff (e.g. phishing via text/WhatsApp, device handling), separate from the office-focused induction.</t>
  </si>
  <si>
    <t xml:space="preserve">Risk Owner - HR Manager</t>
  </si>
  <si>
    <t xml:space="preserve">PR.DS</t>
  </si>
  <si>
    <t xml:space="preserve">Data Security</t>
  </si>
  <si>
    <t xml:space="preserve">Data is managed consistent with the organisation's risk strategy to protect confidentiality, integrity, and availability.</t>
  </si>
  <si>
    <t xml:space="preserve">Customer shipment data is encrypted in transit via the EDI provider's platform, but shared spreadsheets of customer contact data are emailed internally without encryption.</t>
  </si>
  <si>
    <t xml:space="preserve">Restrict customer data exports to approved, encrypted channels and prohibit ad hoc spreadsheet distribution via email.</t>
  </si>
  <si>
    <t xml:space="preserve">PR.PS</t>
  </si>
  <si>
    <t xml:space="preserve">Platform Security</t>
  </si>
  <si>
    <t xml:space="preserve">Hardware, software, and services are managed consistent with the organisation's risk strategy to protect confidentiality, integrity, and availability.</t>
  </si>
  <si>
    <t xml:space="preserve">The warehouse management system runs on an on-premise server that has missed several vendor patch cycles due to fear of disrupting live operations.</t>
  </si>
  <si>
    <t xml:space="preserve">Establish a scheduled maintenance window for WMS patching, tested in a staging environment first to reduce operational disruption risk.</t>
  </si>
  <si>
    <t xml:space="preserve">PR.IR</t>
  </si>
  <si>
    <t xml:space="preserve">Technology Infrastructure Resilience</t>
  </si>
  <si>
    <t xml:space="preserve">Security architectures are managed to protect asset confidentiality, integrity, availability, and organisational resilience.</t>
  </si>
  <si>
    <t xml:space="preserve">A single on-premise server hosts the WMS with no failover; a prior half-day outage halted warehouse dispatch operations.</t>
  </si>
  <si>
    <t xml:space="preserve">Migrate the WMS to a resilient cloud-hosted configuration with failover, or implement a documented manual fallback process for outages.</t>
  </si>
  <si>
    <t xml:space="preserve">Detect</t>
  </si>
  <si>
    <t xml:space="preserve">DE.CM</t>
  </si>
  <si>
    <t xml:space="preserve">Continuous Monitoring</t>
  </si>
  <si>
    <t xml:space="preserve">Assets are monitored to find anomalies, indicators of compromise, and other potentially adverse events.</t>
  </si>
  <si>
    <t xml:space="preserve">No monitoring exists beyond antivirus alerts on office laptops; the WMS server and warehouse network have no logging or alerting in place.</t>
  </si>
  <si>
    <t xml:space="preserve">Enable basic logging and alerting on the WMS server and core network equipment, even without a full SIEM, as a first step.</t>
  </si>
  <si>
    <t xml:space="preserve">DE.AE</t>
  </si>
  <si>
    <t xml:space="preserve">Adverse Event Analysis</t>
  </si>
  <si>
    <t xml:space="preserve">Anomalies and indicators of compromise are analysed to characterise events and detect cybersecurity incidents.</t>
  </si>
  <si>
    <t xml:space="preserve">There is no process to review or triage security-relevant alerts; antivirus alerts are dismissed rather than investigated due to time pressure.</t>
  </si>
  <si>
    <t xml:space="preserve">Define a simple triage checklist for the IT Manager to follow when a security alert is raised, rather than dismissing by default.</t>
  </si>
  <si>
    <t xml:space="preserve">Q3 2026</t>
  </si>
  <si>
    <t xml:space="preserve">Respond</t>
  </si>
  <si>
    <t xml:space="preserve">RS.MA</t>
  </si>
  <si>
    <t xml:space="preserve">Incident Management</t>
  </si>
  <si>
    <t xml:space="preserve">Responses to detected cybersecurity incidents are managed.</t>
  </si>
  <si>
    <t xml:space="preserve">No documented incident response plan exists; the one past ransomware scare was handled informally by restoring from backup with no structured response.</t>
  </si>
  <si>
    <t xml:space="preserve">Document a basic incident response plan covering roles, an escalation path, and initial containment steps for the most likely scenarios (phishing, ransomware).</t>
  </si>
  <si>
    <t xml:space="preserve">RS.AN</t>
  </si>
  <si>
    <t xml:space="preserve">Incident Analysis</t>
  </si>
  <si>
    <t xml:space="preserve">Investigations are conducted to ensure effective response and support forensics and recovery activities.</t>
  </si>
  <si>
    <t xml:space="preserve">No root-cause analysis was performed after the ransomware scare; the entry point was never identified.</t>
  </si>
  <si>
    <t xml:space="preserve">Add a basic root-cause-analysis step to the incident response plan so recurring entry points can be identified and closed.</t>
  </si>
  <si>
    <t xml:space="preserve">RS.CO</t>
  </si>
  <si>
    <t xml:space="preserve">Incident Response Reporting &amp; Communication</t>
  </si>
  <si>
    <t xml:space="preserve">Response activities are coordinated with internal and external stakeholders, including regulatory notification.</t>
  </si>
  <si>
    <t xml:space="preserve">No defined process exists for notifying affected customers or the ICO if a data breach occurred; this was not considered during the past incident.</t>
  </si>
  <si>
    <t xml:space="preserve">Define regulatory notification triggers and a basic customer communication template as part of the incident response plan.</t>
  </si>
  <si>
    <t xml:space="preserve">RS.MI</t>
  </si>
  <si>
    <t xml:space="preserve">Incident Mitigation</t>
  </si>
  <si>
    <t xml:space="preserve">Activities are performed to prevent expansion of an event and mitigate its effects.</t>
  </si>
  <si>
    <t xml:space="preserve">The affected device was disconnected from the network during the past incident, but no documented containment procedure guided the decision.</t>
  </si>
  <si>
    <t xml:space="preserve">Document a basic containment checklist (isolate device, preserve evidence, notify IT Manager) for the most common incident types.</t>
  </si>
  <si>
    <t xml:space="preserve">Recover</t>
  </si>
  <si>
    <t xml:space="preserve">RC.RP</t>
  </si>
  <si>
    <t xml:space="preserve">Incident Recovery Plan Execution</t>
  </si>
  <si>
    <t xml:space="preserve">Restoration activities are performed to ensure operational availability of systems affected by cybersecurity incidents.</t>
  </si>
  <si>
    <t xml:space="preserve">Nightly backups of the WMS exist and were used successfully during the past incident, but restoration has never been tested outside of a real event.</t>
  </si>
  <si>
    <t xml:space="preserve">Schedule a planned restore test twice yearly to confirm backups are usable before they are needed in a real incident.</t>
  </si>
  <si>
    <t xml:space="preserve">RC.CO</t>
  </si>
  <si>
    <t xml:space="preserve">Incident Recovery Communication</t>
  </si>
  <si>
    <t xml:space="preserve">Restoration activities are coordinated with internal and external parties.</t>
  </si>
  <si>
    <t xml:space="preserve">Drivers and warehouse staff were not told why systems were down during the past incident, leading to confusion about manual fallback procedures.</t>
  </si>
  <si>
    <t xml:space="preserve">Define a simple internal communication step so operational staff are told what's happening and what to do during an outage or incident.</t>
  </si>
  <si>
    <t xml:space="preserve">Maturity by NIST CSF 2.0 Function</t>
  </si>
  <si>
    <t xml:space="preserve">Avg. Current Maturity</t>
  </si>
  <si>
    <t xml:space="preserve">Avg. Target Maturity</t>
  </si>
  <si>
    <t xml:space="preserve">Avg. Gap</t>
  </si>
  <si>
    <t xml:space="preserve">Category Count</t>
  </si>
  <si>
    <t xml:space="preserve">Overall Average</t>
  </si>
  <si>
    <t xml:space="preserve">Remediation Roadmap</t>
  </si>
  <si>
    <t xml:space="preserve">Actions from the Maturity Assessment, grouped by target quarter and ordered by priority within each quarter.</t>
  </si>
  <si>
    <t xml:space="preserve">Recommended Action</t>
  </si>
  <si>
    <t xml:space="preserve">Medium</t>
  </si>
  <si>
    <t xml:space="preserve">Low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</si>
</sst>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i val="true"/>
      <sz val="10"/>
      <color rgb="FF9C000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EB9C"/>
      </patternFill>
    </fill>
    <fill>
      <patternFill patternType="solid">
        <fgColor rgb="FF1F3864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b val="1"/>
        <color rgb="FF404040"/>
        <sz val="1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7F6000"/>
        <sz val="10"/>
      </font>
      <fill>
        <patternFill>
          <bgColor rgb="FFFFD966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878787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D96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65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Current vs Target Maturity by Function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'Function Summary'!C4</c:f>
              <c:strCache>
                <c:ptCount val="1"/>
                <c:pt idx="0">
                  <c:v>Avg. Current Maturity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'Function Summary'!$B$5:$B$10</c:f>
              <c:strCache>
                <c:ptCount val="6"/>
                <c:pt idx="0">
                  <c:v>Govern</c:v>
                </c:pt>
                <c:pt idx="1">
                  <c:v>Identify</c:v>
                </c:pt>
                <c:pt idx="2">
                  <c:v>Protect</c:v>
                </c:pt>
                <c:pt idx="3">
                  <c:v>Detect</c:v>
                </c:pt>
                <c:pt idx="4">
                  <c:v>Respond</c:v>
                </c:pt>
                <c:pt idx="5">
                  <c:v>Recover</c:v>
                </c:pt>
              </c:strCache>
            </c:strRef>
          </c:cat>
          <c:val>
            <c:numRef>
              <c:f>'Function Summary'!$C$5:$C$10</c:f>
              <c:numCache>
                <c:formatCode>General</c:formatCode>
                <c:ptCount val="6"/>
                <c:pt idx="0">
                  <c:v>1.17</c:v>
                </c:pt>
                <c:pt idx="1">
                  <c:v>1</c:v>
                </c:pt>
                <c:pt idx="2">
                  <c:v>1.2</c:v>
                </c:pt>
                <c:pt idx="3">
                  <c:v>0</c:v>
                </c:pt>
                <c:pt idx="4">
                  <c:v>0.5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strRef>
              <c:f>'Function Summary'!D4</c:f>
              <c:strCache>
                <c:ptCount val="1"/>
                <c:pt idx="0">
                  <c:v>Avg. Target Maturity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'Function Summary'!$B$5:$B$10</c:f>
              <c:strCache>
                <c:ptCount val="6"/>
                <c:pt idx="0">
                  <c:v>Govern</c:v>
                </c:pt>
                <c:pt idx="1">
                  <c:v>Identify</c:v>
                </c:pt>
                <c:pt idx="2">
                  <c:v>Protect</c:v>
                </c:pt>
                <c:pt idx="3">
                  <c:v>Detect</c:v>
                </c:pt>
                <c:pt idx="4">
                  <c:v>Respond</c:v>
                </c:pt>
                <c:pt idx="5">
                  <c:v>Recover</c:v>
                </c:pt>
              </c:strCache>
            </c:strRef>
          </c:cat>
          <c:val>
            <c:numRef>
              <c:f>'Function Summary'!$D$5:$D$10</c:f>
              <c:numCache>
                <c:formatCode>General</c:formatCode>
                <c:ptCount val="6"/>
                <c:pt idx="0">
                  <c:v>2.67</c:v>
                </c:pt>
                <c:pt idx="1">
                  <c:v>2.67</c:v>
                </c:pt>
                <c:pt idx="2">
                  <c:v>2.8</c:v>
                </c:pt>
                <c:pt idx="3">
                  <c:v>2</c:v>
                </c:pt>
                <c:pt idx="4">
                  <c:v>2.25</c:v>
                </c:pt>
                <c:pt idx="5">
                  <c:v>2.5</c:v>
                </c:pt>
              </c:numCache>
            </c:numRef>
          </c:val>
        </c:ser>
        <c:gapWidth val="150"/>
        <c:overlap val="0"/>
        <c:axId val="50530238"/>
        <c:axId val="55281580"/>
      </c:barChart>
      <c:catAx>
        <c:axId val="505302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Function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281580"/>
        <c:crosses val="autoZero"/>
        <c:auto val="1"/>
        <c:lblAlgn val="ctr"/>
        <c:lblOffset val="100"/>
        <c:noMultiLvlLbl val="0"/>
      </c:catAx>
      <c:valAx>
        <c:axId val="55281580"/>
        <c:scaling>
          <c:orientation val="minMax"/>
          <c:max val="4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Maturity Score (0-4)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05302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11</xdr:row>
      <xdr:rowOff>160560</xdr:rowOff>
    </xdr:from>
    <xdr:to>
      <xdr:col>9</xdr:col>
      <xdr:colOff>305280</xdr:colOff>
      <xdr:row>32</xdr:row>
      <xdr:rowOff>119880</xdr:rowOff>
    </xdr:to>
    <xdr:graphicFrame>
      <xdr:nvGraphicFramePr>
        <xdr:cNvPr id="0" name="Chart 1"/>
        <xdr:cNvGraphicFramePr/>
      </xdr:nvGraphicFramePr>
      <xdr:xfrm>
        <a:off x="211320" y="2286000"/>
        <a:ext cx="79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0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54.75" hidden="false" customHeight="true" outlineLevel="0" collapsed="false">
      <c r="B5" s="3" t="s">
        <v>2</v>
      </c>
      <c r="C5" s="3"/>
    </row>
    <row r="8" customFormat="false" ht="15" hidden="false" customHeight="false" outlineLevel="0" collapsed="false">
      <c r="B8" s="4" t="s">
        <v>3</v>
      </c>
      <c r="C8" s="4"/>
    </row>
    <row r="9" customFormat="false" ht="54.75" hidden="false" customHeight="true" outlineLevel="0" collapsed="false">
      <c r="B9" s="5" t="s">
        <v>4</v>
      </c>
      <c r="C9" s="5"/>
    </row>
    <row r="11" customFormat="false" ht="15" hidden="false" customHeight="false" outlineLevel="0" collapsed="false">
      <c r="B11" s="4" t="s">
        <v>5</v>
      </c>
      <c r="C11" s="4"/>
    </row>
    <row r="12" customFormat="false" ht="54.75" hidden="false" customHeight="true" outlineLevel="0" collapsed="false">
      <c r="B12" s="5" t="s">
        <v>6</v>
      </c>
      <c r="C12" s="5"/>
    </row>
    <row r="14" customFormat="false" ht="15" hidden="false" customHeight="false" outlineLevel="0" collapsed="false">
      <c r="B14" s="4" t="s">
        <v>7</v>
      </c>
      <c r="C14" s="4"/>
    </row>
    <row r="15" customFormat="false" ht="54.75" hidden="false" customHeight="true" outlineLevel="0" collapsed="false">
      <c r="B15" s="5" t="s">
        <v>8</v>
      </c>
      <c r="C15" s="5"/>
    </row>
    <row r="17" customFormat="false" ht="15" hidden="false" customHeight="false" outlineLevel="0" collapsed="false">
      <c r="B17" s="4" t="s">
        <v>9</v>
      </c>
      <c r="C17" s="4"/>
    </row>
    <row r="18" customFormat="false" ht="54.75" hidden="false" customHeight="true" outlineLevel="0" collapsed="false">
      <c r="B18" s="5" t="s">
        <v>10</v>
      </c>
      <c r="C18" s="5"/>
    </row>
    <row r="20" customFormat="false" ht="15" hidden="false" customHeight="false" outlineLevel="0" collapsed="false">
      <c r="B20" s="4" t="s">
        <v>11</v>
      </c>
      <c r="C20" s="4"/>
    </row>
    <row r="21" customFormat="false" ht="54.75" hidden="false" customHeight="true" outlineLevel="0" collapsed="false">
      <c r="B21" s="5" t="s">
        <v>12</v>
      </c>
      <c r="C21" s="5"/>
    </row>
    <row r="24" customFormat="false" ht="15" hidden="false" customHeight="false" outlineLevel="0" collapsed="false">
      <c r="B24" s="6" t="s">
        <v>7</v>
      </c>
    </row>
    <row r="25" customFormat="false" ht="30" hidden="false" customHeight="true" outlineLevel="0" collapsed="false">
      <c r="B25" s="7" t="n">
        <v>0</v>
      </c>
      <c r="C25" s="8" t="s">
        <v>13</v>
      </c>
    </row>
    <row r="26" customFormat="false" ht="30" hidden="false" customHeight="true" outlineLevel="0" collapsed="false">
      <c r="B26" s="7" t="n">
        <v>1</v>
      </c>
      <c r="C26" s="8" t="s">
        <v>14</v>
      </c>
    </row>
    <row r="27" customFormat="false" ht="30" hidden="false" customHeight="true" outlineLevel="0" collapsed="false">
      <c r="B27" s="7" t="n">
        <v>2</v>
      </c>
      <c r="C27" s="8" t="s">
        <v>15</v>
      </c>
    </row>
    <row r="28" customFormat="false" ht="30" hidden="false" customHeight="true" outlineLevel="0" collapsed="false">
      <c r="B28" s="7" t="n">
        <v>3</v>
      </c>
      <c r="C28" s="8" t="s">
        <v>16</v>
      </c>
    </row>
    <row r="29" customFormat="false" ht="30" hidden="false" customHeight="true" outlineLevel="0" collapsed="false">
      <c r="B29" s="7" t="n">
        <v>4</v>
      </c>
      <c r="C29" s="8" t="s">
        <v>17</v>
      </c>
    </row>
    <row r="32" customFormat="false" ht="15" hidden="false" customHeight="false" outlineLevel="0" collapsed="false">
      <c r="B32" s="6" t="s">
        <v>18</v>
      </c>
    </row>
    <row r="33" customFormat="false" ht="15" hidden="false" customHeight="false" outlineLevel="0" collapsed="false">
      <c r="B33" s="9" t="s">
        <v>19</v>
      </c>
      <c r="C33" s="9" t="s">
        <v>20</v>
      </c>
    </row>
    <row r="34" customFormat="false" ht="30" hidden="false" customHeight="true" outlineLevel="0" collapsed="false">
      <c r="B34" s="10" t="s">
        <v>21</v>
      </c>
      <c r="C34" s="8" t="s">
        <v>22</v>
      </c>
    </row>
    <row r="35" customFormat="false" ht="30" hidden="false" customHeight="true" outlineLevel="0" collapsed="false">
      <c r="B35" s="10" t="s">
        <v>23</v>
      </c>
      <c r="C35" s="8" t="s">
        <v>24</v>
      </c>
    </row>
    <row r="36" customFormat="false" ht="30" hidden="false" customHeight="true" outlineLevel="0" collapsed="false">
      <c r="B36" s="10" t="s">
        <v>25</v>
      </c>
      <c r="C36" s="8" t="s">
        <v>26</v>
      </c>
    </row>
    <row r="37" customFormat="false" ht="30" hidden="false" customHeight="true" outlineLevel="0" collapsed="false">
      <c r="B37" s="10" t="s">
        <v>27</v>
      </c>
      <c r="C37" s="8" t="s">
        <v>28</v>
      </c>
    </row>
    <row r="38" customFormat="false" ht="30" hidden="false" customHeight="true" outlineLevel="0" collapsed="false">
      <c r="B38" s="10" t="s">
        <v>29</v>
      </c>
      <c r="C38" s="8" t="s">
        <v>30</v>
      </c>
    </row>
    <row r="39" customFormat="false" ht="30" hidden="false" customHeight="true" outlineLevel="0" collapsed="false">
      <c r="B39" s="10" t="s">
        <v>31</v>
      </c>
      <c r="C39" s="8" t="s">
        <v>30</v>
      </c>
    </row>
    <row r="40" customFormat="false" ht="30" hidden="false" customHeight="true" outlineLevel="0" collapsed="false">
      <c r="B40" s="10" t="s">
        <v>32</v>
      </c>
      <c r="C40" s="8" t="s">
        <v>33</v>
      </c>
    </row>
    <row r="41" customFormat="false" ht="30" hidden="false" customHeight="true" outlineLevel="0" collapsed="false">
      <c r="B41" s="10" t="s">
        <v>34</v>
      </c>
      <c r="C41" s="8" t="s">
        <v>35</v>
      </c>
    </row>
  </sheetData>
  <mergeCells count="11">
    <mergeCell ref="B5:C5"/>
    <mergeCell ref="B8:C8"/>
    <mergeCell ref="B9:C9"/>
    <mergeCell ref="B11:C11"/>
    <mergeCell ref="B12:C12"/>
    <mergeCell ref="B14:C14"/>
    <mergeCell ref="B15:C15"/>
    <mergeCell ref="B17:C17"/>
    <mergeCell ref="B18:C18"/>
    <mergeCell ref="B20:C20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38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34"/>
    <col collapsed="false" customWidth="true" hidden="false" outlineLevel="0" max="10" min="10" style="0" width="40"/>
    <col collapsed="false" customWidth="true" hidden="false" outlineLevel="0" max="11" min="11" style="0" width="22"/>
    <col collapsed="false" customWidth="true" hidden="false" outlineLevel="0" max="12" min="12" style="0" width="13"/>
  </cols>
  <sheetData>
    <row r="1" customFormat="false" ht="31.5" hidden="false" customHeight="true" outlineLevel="0" collapsed="false">
      <c r="A1" s="11" t="s">
        <v>36</v>
      </c>
      <c r="B1" s="11" t="s">
        <v>37</v>
      </c>
      <c r="C1" s="11" t="s">
        <v>38</v>
      </c>
      <c r="D1" s="11" t="s">
        <v>39</v>
      </c>
      <c r="E1" s="11" t="s">
        <v>40</v>
      </c>
      <c r="F1" s="11" t="s">
        <v>41</v>
      </c>
      <c r="G1" s="11" t="s">
        <v>42</v>
      </c>
      <c r="H1" s="11" t="s">
        <v>43</v>
      </c>
      <c r="I1" s="11" t="s">
        <v>44</v>
      </c>
      <c r="J1" s="11" t="s">
        <v>45</v>
      </c>
      <c r="K1" s="11" t="s">
        <v>46</v>
      </c>
      <c r="L1" s="11" t="s">
        <v>47</v>
      </c>
    </row>
    <row r="2" customFormat="false" ht="60" hidden="false" customHeight="true" outlineLevel="0" collapsed="false">
      <c r="A2" s="8" t="s">
        <v>48</v>
      </c>
      <c r="B2" s="8" t="s">
        <v>49</v>
      </c>
      <c r="C2" s="8" t="s">
        <v>50</v>
      </c>
      <c r="D2" s="8" t="s">
        <v>51</v>
      </c>
      <c r="E2" s="12" t="n">
        <v>2</v>
      </c>
      <c r="F2" s="12" t="n">
        <v>3</v>
      </c>
      <c r="G2" s="13" t="n">
        <f aca="false">F2-E2</f>
        <v>1</v>
      </c>
      <c r="H2" s="12" t="str">
        <f aca="false">IF(G2&gt;=4,"Critical",IF(G2&gt;=3,"High",IF(G2&gt;=2,"Medium",IF(G2&gt;=1,"Low","None"))))</f>
        <v>Low</v>
      </c>
      <c r="I2" s="8" t="s">
        <v>52</v>
      </c>
      <c r="J2" s="8" t="s">
        <v>53</v>
      </c>
      <c r="K2" s="8" t="s">
        <v>54</v>
      </c>
      <c r="L2" s="8" t="s">
        <v>55</v>
      </c>
    </row>
    <row r="3" customFormat="false" ht="60" hidden="false" customHeight="true" outlineLevel="0" collapsed="false">
      <c r="A3" s="8" t="s">
        <v>48</v>
      </c>
      <c r="B3" s="8" t="s">
        <v>56</v>
      </c>
      <c r="C3" s="8" t="s">
        <v>57</v>
      </c>
      <c r="D3" s="8" t="s">
        <v>58</v>
      </c>
      <c r="E3" s="12" t="n">
        <v>1</v>
      </c>
      <c r="F3" s="12" t="n">
        <v>3</v>
      </c>
      <c r="G3" s="13" t="n">
        <f aca="false">F3-E3</f>
        <v>2</v>
      </c>
      <c r="H3" s="12" t="str">
        <f aca="false">IF(G3&gt;=4,"Critical",IF(G3&gt;=3,"High",IF(G3&gt;=2,"Medium",IF(G3&gt;=1,"Low","None"))))</f>
        <v>Medium</v>
      </c>
      <c r="I3" s="8" t="s">
        <v>59</v>
      </c>
      <c r="J3" s="8" t="s">
        <v>60</v>
      </c>
      <c r="K3" s="8" t="s">
        <v>61</v>
      </c>
      <c r="L3" s="8" t="s">
        <v>55</v>
      </c>
    </row>
    <row r="4" customFormat="false" ht="60" hidden="false" customHeight="true" outlineLevel="0" collapsed="false">
      <c r="A4" s="8" t="s">
        <v>48</v>
      </c>
      <c r="B4" s="8" t="s">
        <v>62</v>
      </c>
      <c r="C4" s="8" t="s">
        <v>63</v>
      </c>
      <c r="D4" s="8" t="s">
        <v>64</v>
      </c>
      <c r="E4" s="12" t="n">
        <v>1</v>
      </c>
      <c r="F4" s="12" t="n">
        <v>3</v>
      </c>
      <c r="G4" s="13" t="n">
        <f aca="false">F4-E4</f>
        <v>2</v>
      </c>
      <c r="H4" s="12" t="str">
        <f aca="false">IF(G4&gt;=4,"Critical",IF(G4&gt;=3,"High",IF(G4&gt;=2,"Medium",IF(G4&gt;=1,"Low","None"))))</f>
        <v>Medium</v>
      </c>
      <c r="I4" s="8" t="s">
        <v>65</v>
      </c>
      <c r="J4" s="8" t="s">
        <v>66</v>
      </c>
      <c r="K4" s="8" t="s">
        <v>67</v>
      </c>
      <c r="L4" s="8" t="s">
        <v>68</v>
      </c>
    </row>
    <row r="5" customFormat="false" ht="60" hidden="false" customHeight="true" outlineLevel="0" collapsed="false">
      <c r="A5" s="8" t="s">
        <v>48</v>
      </c>
      <c r="B5" s="8" t="s">
        <v>69</v>
      </c>
      <c r="C5" s="8" t="s">
        <v>70</v>
      </c>
      <c r="D5" s="8" t="s">
        <v>71</v>
      </c>
      <c r="E5" s="12" t="n">
        <v>1</v>
      </c>
      <c r="F5" s="12" t="n">
        <v>3</v>
      </c>
      <c r="G5" s="13" t="n">
        <f aca="false">F5-E5</f>
        <v>2</v>
      </c>
      <c r="H5" s="12" t="str">
        <f aca="false">IF(G5&gt;=4,"Critical",IF(G5&gt;=3,"High",IF(G5&gt;=2,"Medium",IF(G5&gt;=1,"Low","None"))))</f>
        <v>Medium</v>
      </c>
      <c r="I5" s="8" t="s">
        <v>72</v>
      </c>
      <c r="J5" s="8" t="s">
        <v>73</v>
      </c>
      <c r="K5" s="8" t="s">
        <v>54</v>
      </c>
      <c r="L5" s="8" t="s">
        <v>55</v>
      </c>
    </row>
    <row r="6" customFormat="false" ht="60" hidden="false" customHeight="true" outlineLevel="0" collapsed="false">
      <c r="A6" s="8" t="s">
        <v>48</v>
      </c>
      <c r="B6" s="8" t="s">
        <v>74</v>
      </c>
      <c r="C6" s="8" t="s">
        <v>75</v>
      </c>
      <c r="D6" s="8" t="s">
        <v>76</v>
      </c>
      <c r="E6" s="12" t="n">
        <v>1</v>
      </c>
      <c r="F6" s="12" t="n">
        <v>2</v>
      </c>
      <c r="G6" s="13" t="n">
        <f aca="false">F6-E6</f>
        <v>1</v>
      </c>
      <c r="H6" s="12" t="str">
        <f aca="false">IF(G6&gt;=4,"Critical",IF(G6&gt;=3,"High",IF(G6&gt;=2,"Medium",IF(G6&gt;=1,"Low","None"))))</f>
        <v>Low</v>
      </c>
      <c r="I6" s="8" t="s">
        <v>77</v>
      </c>
      <c r="J6" s="8" t="s">
        <v>78</v>
      </c>
      <c r="K6" s="8" t="s">
        <v>67</v>
      </c>
      <c r="L6" s="8" t="s">
        <v>79</v>
      </c>
    </row>
    <row r="7" customFormat="false" ht="60" hidden="false" customHeight="true" outlineLevel="0" collapsed="false">
      <c r="A7" s="8" t="s">
        <v>48</v>
      </c>
      <c r="B7" s="8" t="s">
        <v>80</v>
      </c>
      <c r="C7" s="8" t="s">
        <v>81</v>
      </c>
      <c r="D7" s="8" t="s">
        <v>82</v>
      </c>
      <c r="E7" s="12" t="n">
        <v>1</v>
      </c>
      <c r="F7" s="12" t="n">
        <v>2</v>
      </c>
      <c r="G7" s="13" t="n">
        <f aca="false">F7-E7</f>
        <v>1</v>
      </c>
      <c r="H7" s="12" t="str">
        <f aca="false">IF(G7&gt;=4,"Critical",IF(G7&gt;=3,"High",IF(G7&gt;=2,"Medium",IF(G7&gt;=1,"Low","None"))))</f>
        <v>Low</v>
      </c>
      <c r="I7" s="8" t="s">
        <v>83</v>
      </c>
      <c r="J7" s="8" t="s">
        <v>84</v>
      </c>
      <c r="K7" s="8" t="s">
        <v>85</v>
      </c>
      <c r="L7" s="8" t="s">
        <v>79</v>
      </c>
    </row>
    <row r="8" customFormat="false" ht="60" hidden="false" customHeight="true" outlineLevel="0" collapsed="false">
      <c r="A8" s="8" t="s">
        <v>86</v>
      </c>
      <c r="B8" s="8" t="s">
        <v>87</v>
      </c>
      <c r="C8" s="8" t="s">
        <v>88</v>
      </c>
      <c r="D8" s="8" t="s">
        <v>89</v>
      </c>
      <c r="E8" s="12" t="n">
        <v>2</v>
      </c>
      <c r="F8" s="12" t="n">
        <v>3</v>
      </c>
      <c r="G8" s="13" t="n">
        <f aca="false">F8-E8</f>
        <v>1</v>
      </c>
      <c r="H8" s="12" t="str">
        <f aca="false">IF(G8&gt;=4,"Critical",IF(G8&gt;=3,"High",IF(G8&gt;=2,"Medium",IF(G8&gt;=1,"Low","None"))))</f>
        <v>Low</v>
      </c>
      <c r="I8" s="8" t="s">
        <v>90</v>
      </c>
      <c r="J8" s="8" t="s">
        <v>91</v>
      </c>
      <c r="K8" s="8" t="s">
        <v>54</v>
      </c>
      <c r="L8" s="8" t="s">
        <v>68</v>
      </c>
    </row>
    <row r="9" customFormat="false" ht="60" hidden="false" customHeight="true" outlineLevel="0" collapsed="false">
      <c r="A9" s="8" t="s">
        <v>86</v>
      </c>
      <c r="B9" s="8" t="s">
        <v>92</v>
      </c>
      <c r="C9" s="8" t="s">
        <v>93</v>
      </c>
      <c r="D9" s="8" t="s">
        <v>94</v>
      </c>
      <c r="E9" s="12" t="n">
        <v>1</v>
      </c>
      <c r="F9" s="12" t="n">
        <v>3</v>
      </c>
      <c r="G9" s="13" t="n">
        <f aca="false">F9-E9</f>
        <v>2</v>
      </c>
      <c r="H9" s="12" t="str">
        <f aca="false">IF(G9&gt;=4,"Critical",IF(G9&gt;=3,"High",IF(G9&gt;=2,"Medium",IF(G9&gt;=1,"Low","None"))))</f>
        <v>Medium</v>
      </c>
      <c r="I9" s="8" t="s">
        <v>95</v>
      </c>
      <c r="J9" s="8" t="s">
        <v>96</v>
      </c>
      <c r="K9" s="8" t="s">
        <v>54</v>
      </c>
      <c r="L9" s="8" t="s">
        <v>68</v>
      </c>
    </row>
    <row r="10" customFormat="false" ht="60" hidden="false" customHeight="true" outlineLevel="0" collapsed="false">
      <c r="A10" s="8" t="s">
        <v>86</v>
      </c>
      <c r="B10" s="8" t="s">
        <v>97</v>
      </c>
      <c r="C10" s="8" t="s">
        <v>98</v>
      </c>
      <c r="D10" s="8" t="s">
        <v>99</v>
      </c>
      <c r="E10" s="12" t="n">
        <v>0</v>
      </c>
      <c r="F10" s="12" t="n">
        <v>2</v>
      </c>
      <c r="G10" s="13" t="n">
        <f aca="false">F10-E10</f>
        <v>2</v>
      </c>
      <c r="H10" s="12" t="str">
        <f aca="false">IF(G10&gt;=4,"Critical",IF(G10&gt;=3,"High",IF(G10&gt;=2,"Medium",IF(G10&gt;=1,"Low","None"))))</f>
        <v>Medium</v>
      </c>
      <c r="I10" s="8" t="s">
        <v>100</v>
      </c>
      <c r="J10" s="8" t="s">
        <v>101</v>
      </c>
      <c r="K10" s="8" t="s">
        <v>54</v>
      </c>
      <c r="L10" s="8" t="s">
        <v>79</v>
      </c>
    </row>
    <row r="11" customFormat="false" ht="60" hidden="false" customHeight="true" outlineLevel="0" collapsed="false">
      <c r="A11" s="8" t="s">
        <v>102</v>
      </c>
      <c r="B11" s="8" t="s">
        <v>103</v>
      </c>
      <c r="C11" s="8" t="s">
        <v>104</v>
      </c>
      <c r="D11" s="8" t="s">
        <v>105</v>
      </c>
      <c r="E11" s="12" t="n">
        <v>1</v>
      </c>
      <c r="F11" s="12" t="n">
        <v>3</v>
      </c>
      <c r="G11" s="13" t="n">
        <f aca="false">F11-E11</f>
        <v>2</v>
      </c>
      <c r="H11" s="12" t="str">
        <f aca="false">IF(G11&gt;=4,"Critical",IF(G11&gt;=3,"High",IF(G11&gt;=2,"Medium",IF(G11&gt;=1,"Low","None"))))</f>
        <v>Medium</v>
      </c>
      <c r="I11" s="8" t="s">
        <v>106</v>
      </c>
      <c r="J11" s="8" t="s">
        <v>107</v>
      </c>
      <c r="K11" s="8" t="s">
        <v>54</v>
      </c>
      <c r="L11" s="8" t="s">
        <v>68</v>
      </c>
    </row>
    <row r="12" customFormat="false" ht="60" hidden="false" customHeight="true" outlineLevel="0" collapsed="false">
      <c r="A12" s="8" t="s">
        <v>102</v>
      </c>
      <c r="B12" s="8" t="s">
        <v>108</v>
      </c>
      <c r="C12" s="8" t="s">
        <v>109</v>
      </c>
      <c r="D12" s="8" t="s">
        <v>110</v>
      </c>
      <c r="E12" s="12" t="n">
        <v>1</v>
      </c>
      <c r="F12" s="12" t="n">
        <v>2</v>
      </c>
      <c r="G12" s="13" t="n">
        <f aca="false">F12-E12</f>
        <v>1</v>
      </c>
      <c r="H12" s="12" t="str">
        <f aca="false">IF(G12&gt;=4,"Critical",IF(G12&gt;=3,"High",IF(G12&gt;=2,"Medium",IF(G12&gt;=1,"Low","None"))))</f>
        <v>Low</v>
      </c>
      <c r="I12" s="8" t="s">
        <v>111</v>
      </c>
      <c r="J12" s="8" t="s">
        <v>112</v>
      </c>
      <c r="K12" s="8" t="s">
        <v>113</v>
      </c>
      <c r="L12" s="8" t="s">
        <v>55</v>
      </c>
    </row>
    <row r="13" customFormat="false" ht="60" hidden="false" customHeight="true" outlineLevel="0" collapsed="false">
      <c r="A13" s="8" t="s">
        <v>102</v>
      </c>
      <c r="B13" s="8" t="s">
        <v>114</v>
      </c>
      <c r="C13" s="8" t="s">
        <v>115</v>
      </c>
      <c r="D13" s="8" t="s">
        <v>116</v>
      </c>
      <c r="E13" s="12" t="n">
        <v>2</v>
      </c>
      <c r="F13" s="12" t="n">
        <v>3</v>
      </c>
      <c r="G13" s="13" t="n">
        <f aca="false">F13-E13</f>
        <v>1</v>
      </c>
      <c r="H13" s="12" t="str">
        <f aca="false">IF(G13&gt;=4,"Critical",IF(G13&gt;=3,"High",IF(G13&gt;=2,"Medium",IF(G13&gt;=1,"Low","None"))))</f>
        <v>Low</v>
      </c>
      <c r="I13" s="8" t="s">
        <v>117</v>
      </c>
      <c r="J13" s="8" t="s">
        <v>118</v>
      </c>
      <c r="K13" s="8" t="s">
        <v>54</v>
      </c>
      <c r="L13" s="8" t="s">
        <v>55</v>
      </c>
    </row>
    <row r="14" customFormat="false" ht="60" hidden="false" customHeight="true" outlineLevel="0" collapsed="false">
      <c r="A14" s="8" t="s">
        <v>102</v>
      </c>
      <c r="B14" s="8" t="s">
        <v>119</v>
      </c>
      <c r="C14" s="8" t="s">
        <v>120</v>
      </c>
      <c r="D14" s="8" t="s">
        <v>121</v>
      </c>
      <c r="E14" s="12" t="n">
        <v>1</v>
      </c>
      <c r="F14" s="12" t="n">
        <v>3</v>
      </c>
      <c r="G14" s="13" t="n">
        <f aca="false">F14-E14</f>
        <v>2</v>
      </c>
      <c r="H14" s="12" t="str">
        <f aca="false">IF(G14&gt;=4,"Critical",IF(G14&gt;=3,"High",IF(G14&gt;=2,"Medium",IF(G14&gt;=1,"Low","None"))))</f>
        <v>Medium</v>
      </c>
      <c r="I14" s="8" t="s">
        <v>122</v>
      </c>
      <c r="J14" s="8" t="s">
        <v>123</v>
      </c>
      <c r="K14" s="8" t="s">
        <v>54</v>
      </c>
      <c r="L14" s="8" t="s">
        <v>55</v>
      </c>
    </row>
    <row r="15" customFormat="false" ht="60" hidden="false" customHeight="true" outlineLevel="0" collapsed="false">
      <c r="A15" s="8" t="s">
        <v>102</v>
      </c>
      <c r="B15" s="8" t="s">
        <v>124</v>
      </c>
      <c r="C15" s="8" t="s">
        <v>125</v>
      </c>
      <c r="D15" s="8" t="s">
        <v>126</v>
      </c>
      <c r="E15" s="12" t="n">
        <v>1</v>
      </c>
      <c r="F15" s="12" t="n">
        <v>3</v>
      </c>
      <c r="G15" s="13" t="n">
        <f aca="false">F15-E15</f>
        <v>2</v>
      </c>
      <c r="H15" s="12" t="str">
        <f aca="false">IF(G15&gt;=4,"Critical",IF(G15&gt;=3,"High",IF(G15&gt;=2,"Medium",IF(G15&gt;=1,"Low","None"))))</f>
        <v>Medium</v>
      </c>
      <c r="I15" s="8" t="s">
        <v>127</v>
      </c>
      <c r="J15" s="8" t="s">
        <v>128</v>
      </c>
      <c r="K15" s="8" t="s">
        <v>85</v>
      </c>
      <c r="L15" s="8" t="s">
        <v>79</v>
      </c>
    </row>
    <row r="16" customFormat="false" ht="60" hidden="false" customHeight="true" outlineLevel="0" collapsed="false">
      <c r="A16" s="8" t="s">
        <v>129</v>
      </c>
      <c r="B16" s="8" t="s">
        <v>130</v>
      </c>
      <c r="C16" s="8" t="s">
        <v>131</v>
      </c>
      <c r="D16" s="8" t="s">
        <v>132</v>
      </c>
      <c r="E16" s="12" t="n">
        <v>0</v>
      </c>
      <c r="F16" s="12" t="n">
        <v>2</v>
      </c>
      <c r="G16" s="13" t="n">
        <f aca="false">F16-E16</f>
        <v>2</v>
      </c>
      <c r="H16" s="12" t="str">
        <f aca="false">IF(G16&gt;=4,"Critical",IF(G16&gt;=3,"High",IF(G16&gt;=2,"Medium",IF(G16&gt;=1,"Low","None"))))</f>
        <v>Medium</v>
      </c>
      <c r="I16" s="8" t="s">
        <v>133</v>
      </c>
      <c r="J16" s="8" t="s">
        <v>134</v>
      </c>
      <c r="K16" s="8" t="s">
        <v>54</v>
      </c>
      <c r="L16" s="8" t="s">
        <v>79</v>
      </c>
    </row>
    <row r="17" customFormat="false" ht="60" hidden="false" customHeight="true" outlineLevel="0" collapsed="false">
      <c r="A17" s="8" t="s">
        <v>129</v>
      </c>
      <c r="B17" s="8" t="s">
        <v>135</v>
      </c>
      <c r="C17" s="8" t="s">
        <v>136</v>
      </c>
      <c r="D17" s="8" t="s">
        <v>137</v>
      </c>
      <c r="E17" s="12" t="n">
        <v>0</v>
      </c>
      <c r="F17" s="12" t="n">
        <v>2</v>
      </c>
      <c r="G17" s="13" t="n">
        <f aca="false">F17-E17</f>
        <v>2</v>
      </c>
      <c r="H17" s="12" t="str">
        <f aca="false">IF(G17&gt;=4,"Critical",IF(G17&gt;=3,"High",IF(G17&gt;=2,"Medium",IF(G17&gt;=1,"Low","None"))))</f>
        <v>Medium</v>
      </c>
      <c r="I17" s="8" t="s">
        <v>138</v>
      </c>
      <c r="J17" s="8" t="s">
        <v>139</v>
      </c>
      <c r="K17" s="8" t="s">
        <v>54</v>
      </c>
      <c r="L17" s="8" t="s">
        <v>140</v>
      </c>
    </row>
    <row r="18" customFormat="false" ht="60" hidden="false" customHeight="true" outlineLevel="0" collapsed="false">
      <c r="A18" s="8" t="s">
        <v>141</v>
      </c>
      <c r="B18" s="8" t="s">
        <v>142</v>
      </c>
      <c r="C18" s="8" t="s">
        <v>143</v>
      </c>
      <c r="D18" s="8" t="s">
        <v>144</v>
      </c>
      <c r="E18" s="12" t="n">
        <v>1</v>
      </c>
      <c r="F18" s="12" t="n">
        <v>3</v>
      </c>
      <c r="G18" s="13" t="n">
        <f aca="false">F18-E18</f>
        <v>2</v>
      </c>
      <c r="H18" s="12" t="str">
        <f aca="false">IF(G18&gt;=4,"Critical",IF(G18&gt;=3,"High",IF(G18&gt;=2,"Medium",IF(G18&gt;=1,"Low","None"))))</f>
        <v>Medium</v>
      </c>
      <c r="I18" s="8" t="s">
        <v>145</v>
      </c>
      <c r="J18" s="8" t="s">
        <v>146</v>
      </c>
      <c r="K18" s="8" t="s">
        <v>54</v>
      </c>
      <c r="L18" s="8" t="s">
        <v>55</v>
      </c>
    </row>
    <row r="19" customFormat="false" ht="60" hidden="false" customHeight="true" outlineLevel="0" collapsed="false">
      <c r="A19" s="8" t="s">
        <v>141</v>
      </c>
      <c r="B19" s="8" t="s">
        <v>147</v>
      </c>
      <c r="C19" s="8" t="s">
        <v>148</v>
      </c>
      <c r="D19" s="8" t="s">
        <v>149</v>
      </c>
      <c r="E19" s="12" t="n">
        <v>0</v>
      </c>
      <c r="F19" s="12" t="n">
        <v>2</v>
      </c>
      <c r="G19" s="13" t="n">
        <f aca="false">F19-E19</f>
        <v>2</v>
      </c>
      <c r="H19" s="12" t="str">
        <f aca="false">IF(G19&gt;=4,"Critical",IF(G19&gt;=3,"High",IF(G19&gt;=2,"Medium",IF(G19&gt;=1,"Low","None"))))</f>
        <v>Medium</v>
      </c>
      <c r="I19" s="8" t="s">
        <v>150</v>
      </c>
      <c r="J19" s="8" t="s">
        <v>151</v>
      </c>
      <c r="K19" s="8" t="s">
        <v>54</v>
      </c>
      <c r="L19" s="8" t="s">
        <v>79</v>
      </c>
    </row>
    <row r="20" customFormat="false" ht="60" hidden="false" customHeight="true" outlineLevel="0" collapsed="false">
      <c r="A20" s="8" t="s">
        <v>141</v>
      </c>
      <c r="B20" s="8" t="s">
        <v>152</v>
      </c>
      <c r="C20" s="8" t="s">
        <v>153</v>
      </c>
      <c r="D20" s="8" t="s">
        <v>154</v>
      </c>
      <c r="E20" s="12" t="n">
        <v>0</v>
      </c>
      <c r="F20" s="12" t="n">
        <v>2</v>
      </c>
      <c r="G20" s="13" t="n">
        <f aca="false">F20-E20</f>
        <v>2</v>
      </c>
      <c r="H20" s="12" t="str">
        <f aca="false">IF(G20&gt;=4,"Critical",IF(G20&gt;=3,"High",IF(G20&gt;=2,"Medium",IF(G20&gt;=1,"Low","None"))))</f>
        <v>Medium</v>
      </c>
      <c r="I20" s="8" t="s">
        <v>155</v>
      </c>
      <c r="J20" s="8" t="s">
        <v>156</v>
      </c>
      <c r="K20" s="8" t="s">
        <v>85</v>
      </c>
      <c r="L20" s="8" t="s">
        <v>79</v>
      </c>
    </row>
    <row r="21" customFormat="false" ht="60" hidden="false" customHeight="true" outlineLevel="0" collapsed="false">
      <c r="A21" s="8" t="s">
        <v>141</v>
      </c>
      <c r="B21" s="8" t="s">
        <v>157</v>
      </c>
      <c r="C21" s="8" t="s">
        <v>158</v>
      </c>
      <c r="D21" s="8" t="s">
        <v>159</v>
      </c>
      <c r="E21" s="12" t="n">
        <v>1</v>
      </c>
      <c r="F21" s="12" t="n">
        <v>2</v>
      </c>
      <c r="G21" s="13" t="n">
        <f aca="false">F21-E21</f>
        <v>1</v>
      </c>
      <c r="H21" s="12" t="str">
        <f aca="false">IF(G21&gt;=4,"Critical",IF(G21&gt;=3,"High",IF(G21&gt;=2,"Medium",IF(G21&gt;=1,"Low","None"))))</f>
        <v>Low</v>
      </c>
      <c r="I21" s="8" t="s">
        <v>160</v>
      </c>
      <c r="J21" s="8" t="s">
        <v>161</v>
      </c>
      <c r="K21" s="8" t="s">
        <v>54</v>
      </c>
      <c r="L21" s="8" t="s">
        <v>140</v>
      </c>
    </row>
    <row r="22" customFormat="false" ht="60" hidden="false" customHeight="true" outlineLevel="0" collapsed="false">
      <c r="A22" s="8" t="s">
        <v>162</v>
      </c>
      <c r="B22" s="8" t="s">
        <v>163</v>
      </c>
      <c r="C22" s="8" t="s">
        <v>164</v>
      </c>
      <c r="D22" s="8" t="s">
        <v>165</v>
      </c>
      <c r="E22" s="12" t="n">
        <v>2</v>
      </c>
      <c r="F22" s="12" t="n">
        <v>3</v>
      </c>
      <c r="G22" s="13" t="n">
        <f aca="false">F22-E22</f>
        <v>1</v>
      </c>
      <c r="H22" s="12" t="str">
        <f aca="false">IF(G22&gt;=4,"Critical",IF(G22&gt;=3,"High",IF(G22&gt;=2,"Medium",IF(G22&gt;=1,"Low","None"))))</f>
        <v>Low</v>
      </c>
      <c r="I22" s="8" t="s">
        <v>166</v>
      </c>
      <c r="J22" s="8" t="s">
        <v>167</v>
      </c>
      <c r="K22" s="8" t="s">
        <v>54</v>
      </c>
      <c r="L22" s="8" t="s">
        <v>55</v>
      </c>
    </row>
    <row r="23" customFormat="false" ht="60" hidden="false" customHeight="true" outlineLevel="0" collapsed="false">
      <c r="A23" s="8" t="s">
        <v>162</v>
      </c>
      <c r="B23" s="8" t="s">
        <v>168</v>
      </c>
      <c r="C23" s="8" t="s">
        <v>169</v>
      </c>
      <c r="D23" s="8" t="s">
        <v>170</v>
      </c>
      <c r="E23" s="12" t="n">
        <v>0</v>
      </c>
      <c r="F23" s="12" t="n">
        <v>2</v>
      </c>
      <c r="G23" s="13" t="n">
        <f aca="false">F23-E23</f>
        <v>2</v>
      </c>
      <c r="H23" s="12" t="str">
        <f aca="false">IF(G23&gt;=4,"Critical",IF(G23&gt;=3,"High",IF(G23&gt;=2,"Medium",IF(G23&gt;=1,"Low","None"))))</f>
        <v>Medium</v>
      </c>
      <c r="I23" s="8" t="s">
        <v>171</v>
      </c>
      <c r="J23" s="8" t="s">
        <v>172</v>
      </c>
      <c r="K23" s="8" t="s">
        <v>85</v>
      </c>
      <c r="L23" s="8" t="s">
        <v>140</v>
      </c>
    </row>
  </sheetData>
  <autoFilter ref="A1:L23"/>
  <conditionalFormatting sqref="H2:H23">
    <cfRule type="cellIs" priority="2" operator="equal" aboveAverage="0" equalAverage="0" bottom="0" percent="0" rank="0" text="" dxfId="7">
      <formula>"None"</formula>
    </cfRule>
    <cfRule type="cellIs" priority="3" operator="equal" aboveAverage="0" equalAverage="0" bottom="0" percent="0" rank="0" text="" dxfId="8">
      <formula>"Low"</formula>
    </cfRule>
    <cfRule type="cellIs" priority="4" operator="equal" aboveAverage="0" equalAverage="0" bottom="0" percent="0" rank="0" text="" dxfId="9">
      <formula>"Medium"</formula>
    </cfRule>
    <cfRule type="cellIs" priority="5" operator="equal" aboveAverage="0" equalAverage="0" bottom="0" percent="0" rank="0" text="" dxfId="10">
      <formula>"High"</formula>
    </cfRule>
    <cfRule type="cellIs" priority="6" operator="equal" aboveAverage="0" equalAverage="0" bottom="0" percent="0" rank="0" text="" dxfId="11">
      <formula>"Critical"</formula>
    </cfRule>
  </conditionalFormatting>
  <dataValidations count="1">
    <dataValidation allowBlank="true" errorStyle="stop" operator="between" showDropDown="false" showErrorMessage="false" showInputMessage="false" sqref="E2:F23" type="whole">
      <formula1>0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4" min="3" style="0" width="20"/>
    <col collapsed="false" customWidth="true" hidden="false" outlineLevel="0" max="5" min="5" style="0" width="12"/>
    <col collapsed="false" customWidth="true" hidden="false" outlineLevel="0" max="6" min="6" style="0" width="14"/>
  </cols>
  <sheetData>
    <row r="2" customFormat="false" ht="17.35" hidden="false" customHeight="false" outlineLevel="0" collapsed="false">
      <c r="B2" s="14" t="s">
        <v>173</v>
      </c>
    </row>
    <row r="4" customFormat="false" ht="15" hidden="false" customHeight="false" outlineLevel="0" collapsed="false">
      <c r="B4" s="15" t="s">
        <v>36</v>
      </c>
      <c r="C4" s="15" t="s">
        <v>174</v>
      </c>
      <c r="D4" s="15" t="s">
        <v>175</v>
      </c>
      <c r="E4" s="15" t="s">
        <v>176</v>
      </c>
      <c r="F4" s="15" t="s">
        <v>177</v>
      </c>
    </row>
    <row r="5" customFormat="false" ht="15" hidden="false" customHeight="false" outlineLevel="0" collapsed="false">
      <c r="B5" s="16" t="s">
        <v>48</v>
      </c>
      <c r="C5" s="17" t="n">
        <f aca="false">ROUND(AVERAGEIF('Maturity Assessment'!A2:A23,B5,'Maturity Assessment'!E2:E23),2)</f>
        <v>1.17</v>
      </c>
      <c r="D5" s="17" t="n">
        <f aca="false">ROUND(AVERAGEIF('Maturity Assessment'!A2:A23,B5,'Maturity Assessment'!F2:F23),2)</f>
        <v>2.67</v>
      </c>
      <c r="E5" s="17" t="n">
        <f aca="false">ROUND(D5-C5,2)</f>
        <v>1.5</v>
      </c>
      <c r="F5" s="17" t="n">
        <f aca="false">COUNTIF('Maturity Assessment'!A2:A23,B5)</f>
        <v>6</v>
      </c>
    </row>
    <row r="6" customFormat="false" ht="15" hidden="false" customHeight="false" outlineLevel="0" collapsed="false">
      <c r="B6" s="16" t="s">
        <v>86</v>
      </c>
      <c r="C6" s="17" t="n">
        <f aca="false">ROUND(AVERAGEIF('Maturity Assessment'!A2:A23,B6,'Maturity Assessment'!E2:E23),2)</f>
        <v>1</v>
      </c>
      <c r="D6" s="17" t="n">
        <f aca="false">ROUND(AVERAGEIF('Maturity Assessment'!A2:A23,B6,'Maturity Assessment'!F2:F23),2)</f>
        <v>2.67</v>
      </c>
      <c r="E6" s="17" t="n">
        <f aca="false">ROUND(D6-C6,2)</f>
        <v>1.67</v>
      </c>
      <c r="F6" s="17" t="n">
        <f aca="false">COUNTIF('Maturity Assessment'!A2:A23,B6)</f>
        <v>3</v>
      </c>
    </row>
    <row r="7" customFormat="false" ht="15" hidden="false" customHeight="false" outlineLevel="0" collapsed="false">
      <c r="B7" s="16" t="s">
        <v>102</v>
      </c>
      <c r="C7" s="17" t="n">
        <f aca="false">ROUND(AVERAGEIF('Maturity Assessment'!A2:A23,B7,'Maturity Assessment'!E2:E23),2)</f>
        <v>1.2</v>
      </c>
      <c r="D7" s="17" t="n">
        <f aca="false">ROUND(AVERAGEIF('Maturity Assessment'!A2:A23,B7,'Maturity Assessment'!F2:F23),2)</f>
        <v>2.8</v>
      </c>
      <c r="E7" s="17" t="n">
        <f aca="false">ROUND(D7-C7,2)</f>
        <v>1.6</v>
      </c>
      <c r="F7" s="17" t="n">
        <f aca="false">COUNTIF('Maturity Assessment'!A2:A23,B7)</f>
        <v>5</v>
      </c>
    </row>
    <row r="8" customFormat="false" ht="15" hidden="false" customHeight="false" outlineLevel="0" collapsed="false">
      <c r="B8" s="16" t="s">
        <v>129</v>
      </c>
      <c r="C8" s="17" t="n">
        <f aca="false">ROUND(AVERAGEIF('Maturity Assessment'!A2:A23,B8,'Maturity Assessment'!E2:E23),2)</f>
        <v>0</v>
      </c>
      <c r="D8" s="17" t="n">
        <f aca="false">ROUND(AVERAGEIF('Maturity Assessment'!A2:A23,B8,'Maturity Assessment'!F2:F23),2)</f>
        <v>2</v>
      </c>
      <c r="E8" s="17" t="n">
        <f aca="false">ROUND(D8-C8,2)</f>
        <v>2</v>
      </c>
      <c r="F8" s="17" t="n">
        <f aca="false">COUNTIF('Maturity Assessment'!A2:A23,B8)</f>
        <v>2</v>
      </c>
    </row>
    <row r="9" customFormat="false" ht="15" hidden="false" customHeight="false" outlineLevel="0" collapsed="false">
      <c r="B9" s="16" t="s">
        <v>141</v>
      </c>
      <c r="C9" s="17" t="n">
        <f aca="false">ROUND(AVERAGEIF('Maturity Assessment'!A2:A23,B9,'Maturity Assessment'!E2:E23),2)</f>
        <v>0.5</v>
      </c>
      <c r="D9" s="17" t="n">
        <f aca="false">ROUND(AVERAGEIF('Maturity Assessment'!A2:A23,B9,'Maturity Assessment'!F2:F23),2)</f>
        <v>2.25</v>
      </c>
      <c r="E9" s="17" t="n">
        <f aca="false">ROUND(D9-C9,2)</f>
        <v>1.75</v>
      </c>
      <c r="F9" s="17" t="n">
        <f aca="false">COUNTIF('Maturity Assessment'!A2:A23,B9)</f>
        <v>4</v>
      </c>
    </row>
    <row r="10" customFormat="false" ht="15" hidden="false" customHeight="false" outlineLevel="0" collapsed="false">
      <c r="B10" s="16" t="s">
        <v>162</v>
      </c>
      <c r="C10" s="17" t="n">
        <f aca="false">ROUND(AVERAGEIF('Maturity Assessment'!A2:A23,B10,'Maturity Assessment'!E2:E23),2)</f>
        <v>1</v>
      </c>
      <c r="D10" s="17" t="n">
        <f aca="false">ROUND(AVERAGEIF('Maturity Assessment'!A2:A23,B10,'Maturity Assessment'!F2:F23),2)</f>
        <v>2.5</v>
      </c>
      <c r="E10" s="17" t="n">
        <f aca="false">ROUND(D10-C10,2)</f>
        <v>1.5</v>
      </c>
      <c r="F10" s="17" t="n">
        <f aca="false">COUNTIF('Maturity Assessment'!A2:A23,B10)</f>
        <v>2</v>
      </c>
    </row>
    <row r="11" customFormat="false" ht="15" hidden="false" customHeight="false" outlineLevel="0" collapsed="false">
      <c r="B11" s="16" t="s">
        <v>178</v>
      </c>
      <c r="C11" s="16" t="n">
        <f aca="false">ROUND(AVERAGE(C5:C10),2)</f>
        <v>0.81</v>
      </c>
      <c r="D11" s="16" t="n">
        <f aca="false">ROUND(AVERAGE(D5:D10),2)</f>
        <v>2.48</v>
      </c>
      <c r="E11" s="16" t="n">
        <f aca="false">ROUND(D11-C11,2)</f>
        <v>1.67</v>
      </c>
      <c r="F11" s="16" t="n">
        <f aca="false">SUM(F5:F10)</f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46"/>
    <col collapsed="false" customWidth="true" hidden="false" outlineLevel="0" max="8" min="8" style="0" width="22"/>
  </cols>
  <sheetData>
    <row r="2" customFormat="false" ht="17.35" hidden="false" customHeight="false" outlineLevel="0" collapsed="false">
      <c r="B2" s="14" t="s">
        <v>179</v>
      </c>
    </row>
    <row r="3" customFormat="false" ht="15" hidden="false" customHeight="false" outlineLevel="0" collapsed="false">
      <c r="B3" s="2" t="s">
        <v>180</v>
      </c>
    </row>
    <row r="5" customFormat="false" ht="24" hidden="false" customHeight="true" outlineLevel="0" collapsed="false">
      <c r="B5" s="11" t="s">
        <v>47</v>
      </c>
      <c r="C5" s="11" t="s">
        <v>37</v>
      </c>
      <c r="D5" s="11" t="s">
        <v>38</v>
      </c>
      <c r="E5" s="11" t="s">
        <v>43</v>
      </c>
      <c r="F5" s="11" t="s">
        <v>42</v>
      </c>
      <c r="G5" s="11" t="s">
        <v>181</v>
      </c>
      <c r="H5" s="11" t="s">
        <v>46</v>
      </c>
    </row>
    <row r="6" customFormat="false" ht="48" hidden="false" customHeight="true" outlineLevel="0" collapsed="false">
      <c r="B6" s="8" t="s">
        <v>68</v>
      </c>
      <c r="C6" s="8" t="s">
        <v>62</v>
      </c>
      <c r="D6" s="8" t="s">
        <v>63</v>
      </c>
      <c r="E6" s="12" t="s">
        <v>182</v>
      </c>
      <c r="F6" s="13" t="n">
        <v>2</v>
      </c>
      <c r="G6" s="8" t="s">
        <v>66</v>
      </c>
      <c r="H6" s="8" t="s">
        <v>67</v>
      </c>
    </row>
    <row r="7" customFormat="false" ht="48" hidden="false" customHeight="true" outlineLevel="0" collapsed="false">
      <c r="B7" s="8" t="s">
        <v>68</v>
      </c>
      <c r="C7" s="8" t="s">
        <v>92</v>
      </c>
      <c r="D7" s="8" t="s">
        <v>93</v>
      </c>
      <c r="E7" s="12" t="s">
        <v>182</v>
      </c>
      <c r="F7" s="13" t="n">
        <v>2</v>
      </c>
      <c r="G7" s="8" t="s">
        <v>96</v>
      </c>
      <c r="H7" s="8" t="s">
        <v>54</v>
      </c>
    </row>
    <row r="8" customFormat="false" ht="48" hidden="false" customHeight="true" outlineLevel="0" collapsed="false">
      <c r="B8" s="8" t="s">
        <v>68</v>
      </c>
      <c r="C8" s="8" t="s">
        <v>103</v>
      </c>
      <c r="D8" s="8" t="s">
        <v>104</v>
      </c>
      <c r="E8" s="12" t="s">
        <v>182</v>
      </c>
      <c r="F8" s="13" t="n">
        <v>2</v>
      </c>
      <c r="G8" s="8" t="s">
        <v>107</v>
      </c>
      <c r="H8" s="8" t="s">
        <v>54</v>
      </c>
    </row>
    <row r="9" customFormat="false" ht="48" hidden="false" customHeight="true" outlineLevel="0" collapsed="false">
      <c r="B9" s="8" t="s">
        <v>68</v>
      </c>
      <c r="C9" s="8" t="s">
        <v>87</v>
      </c>
      <c r="D9" s="8" t="s">
        <v>88</v>
      </c>
      <c r="E9" s="12" t="s">
        <v>183</v>
      </c>
      <c r="F9" s="13" t="n">
        <v>1</v>
      </c>
      <c r="G9" s="8" t="s">
        <v>91</v>
      </c>
      <c r="H9" s="8" t="s">
        <v>54</v>
      </c>
    </row>
    <row r="10" customFormat="false" ht="48" hidden="false" customHeight="true" outlineLevel="0" collapsed="false">
      <c r="B10" s="8" t="s">
        <v>55</v>
      </c>
      <c r="C10" s="8" t="s">
        <v>56</v>
      </c>
      <c r="D10" s="8" t="s">
        <v>57</v>
      </c>
      <c r="E10" s="12" t="s">
        <v>182</v>
      </c>
      <c r="F10" s="13" t="n">
        <v>2</v>
      </c>
      <c r="G10" s="8" t="s">
        <v>60</v>
      </c>
      <c r="H10" s="8" t="s">
        <v>61</v>
      </c>
    </row>
    <row r="11" customFormat="false" ht="48" hidden="false" customHeight="true" outlineLevel="0" collapsed="false">
      <c r="B11" s="8" t="s">
        <v>55</v>
      </c>
      <c r="C11" s="8" t="s">
        <v>69</v>
      </c>
      <c r="D11" s="8" t="s">
        <v>70</v>
      </c>
      <c r="E11" s="12" t="s">
        <v>182</v>
      </c>
      <c r="F11" s="13" t="n">
        <v>2</v>
      </c>
      <c r="G11" s="8" t="s">
        <v>73</v>
      </c>
      <c r="H11" s="8" t="s">
        <v>54</v>
      </c>
    </row>
    <row r="12" customFormat="false" ht="48" hidden="false" customHeight="true" outlineLevel="0" collapsed="false">
      <c r="B12" s="8" t="s">
        <v>55</v>
      </c>
      <c r="C12" s="8" t="s">
        <v>119</v>
      </c>
      <c r="D12" s="8" t="s">
        <v>120</v>
      </c>
      <c r="E12" s="12" t="s">
        <v>182</v>
      </c>
      <c r="F12" s="13" t="n">
        <v>2</v>
      </c>
      <c r="G12" s="8" t="s">
        <v>123</v>
      </c>
      <c r="H12" s="8" t="s">
        <v>54</v>
      </c>
    </row>
    <row r="13" customFormat="false" ht="48" hidden="false" customHeight="true" outlineLevel="0" collapsed="false">
      <c r="B13" s="8" t="s">
        <v>55</v>
      </c>
      <c r="C13" s="8" t="s">
        <v>142</v>
      </c>
      <c r="D13" s="8" t="s">
        <v>143</v>
      </c>
      <c r="E13" s="12" t="s">
        <v>182</v>
      </c>
      <c r="F13" s="13" t="n">
        <v>2</v>
      </c>
      <c r="G13" s="8" t="s">
        <v>146</v>
      </c>
      <c r="H13" s="8" t="s">
        <v>54</v>
      </c>
    </row>
    <row r="14" customFormat="false" ht="48" hidden="false" customHeight="true" outlineLevel="0" collapsed="false">
      <c r="B14" s="8" t="s">
        <v>55</v>
      </c>
      <c r="C14" s="8" t="s">
        <v>49</v>
      </c>
      <c r="D14" s="8" t="s">
        <v>50</v>
      </c>
      <c r="E14" s="12" t="s">
        <v>183</v>
      </c>
      <c r="F14" s="13" t="n">
        <v>1</v>
      </c>
      <c r="G14" s="8" t="s">
        <v>53</v>
      </c>
      <c r="H14" s="8" t="s">
        <v>54</v>
      </c>
    </row>
    <row r="15" customFormat="false" ht="48" hidden="false" customHeight="true" outlineLevel="0" collapsed="false">
      <c r="B15" s="8" t="s">
        <v>55</v>
      </c>
      <c r="C15" s="8" t="s">
        <v>108</v>
      </c>
      <c r="D15" s="8" t="s">
        <v>109</v>
      </c>
      <c r="E15" s="12" t="s">
        <v>183</v>
      </c>
      <c r="F15" s="13" t="n">
        <v>1</v>
      </c>
      <c r="G15" s="8" t="s">
        <v>112</v>
      </c>
      <c r="H15" s="8" t="s">
        <v>113</v>
      </c>
    </row>
    <row r="16" customFormat="false" ht="48" hidden="false" customHeight="true" outlineLevel="0" collapsed="false">
      <c r="B16" s="8" t="s">
        <v>55</v>
      </c>
      <c r="C16" s="8" t="s">
        <v>114</v>
      </c>
      <c r="D16" s="8" t="s">
        <v>115</v>
      </c>
      <c r="E16" s="12" t="s">
        <v>183</v>
      </c>
      <c r="F16" s="13" t="n">
        <v>1</v>
      </c>
      <c r="G16" s="8" t="s">
        <v>118</v>
      </c>
      <c r="H16" s="8" t="s">
        <v>54</v>
      </c>
    </row>
    <row r="17" customFormat="false" ht="48" hidden="false" customHeight="true" outlineLevel="0" collapsed="false">
      <c r="B17" s="8" t="s">
        <v>55</v>
      </c>
      <c r="C17" s="8" t="s">
        <v>163</v>
      </c>
      <c r="D17" s="8" t="s">
        <v>164</v>
      </c>
      <c r="E17" s="12" t="s">
        <v>183</v>
      </c>
      <c r="F17" s="13" t="n">
        <v>1</v>
      </c>
      <c r="G17" s="8" t="s">
        <v>167</v>
      </c>
      <c r="H17" s="8" t="s">
        <v>54</v>
      </c>
    </row>
    <row r="18" customFormat="false" ht="48" hidden="false" customHeight="true" outlineLevel="0" collapsed="false">
      <c r="B18" s="8" t="s">
        <v>79</v>
      </c>
      <c r="C18" s="8" t="s">
        <v>97</v>
      </c>
      <c r="D18" s="8" t="s">
        <v>98</v>
      </c>
      <c r="E18" s="12" t="s">
        <v>182</v>
      </c>
      <c r="F18" s="13" t="n">
        <v>2</v>
      </c>
      <c r="G18" s="8" t="s">
        <v>101</v>
      </c>
      <c r="H18" s="8" t="s">
        <v>54</v>
      </c>
    </row>
    <row r="19" customFormat="false" ht="48" hidden="false" customHeight="true" outlineLevel="0" collapsed="false">
      <c r="B19" s="8" t="s">
        <v>79</v>
      </c>
      <c r="C19" s="8" t="s">
        <v>124</v>
      </c>
      <c r="D19" s="8" t="s">
        <v>125</v>
      </c>
      <c r="E19" s="12" t="s">
        <v>182</v>
      </c>
      <c r="F19" s="13" t="n">
        <v>2</v>
      </c>
      <c r="G19" s="8" t="s">
        <v>128</v>
      </c>
      <c r="H19" s="8" t="s">
        <v>85</v>
      </c>
    </row>
    <row r="20" customFormat="false" ht="48" hidden="false" customHeight="true" outlineLevel="0" collapsed="false">
      <c r="B20" s="8" t="s">
        <v>79</v>
      </c>
      <c r="C20" s="8" t="s">
        <v>130</v>
      </c>
      <c r="D20" s="8" t="s">
        <v>131</v>
      </c>
      <c r="E20" s="12" t="s">
        <v>182</v>
      </c>
      <c r="F20" s="13" t="n">
        <v>2</v>
      </c>
      <c r="G20" s="8" t="s">
        <v>134</v>
      </c>
      <c r="H20" s="8" t="s">
        <v>54</v>
      </c>
    </row>
    <row r="21" customFormat="false" ht="48" hidden="false" customHeight="true" outlineLevel="0" collapsed="false">
      <c r="B21" s="8" t="s">
        <v>79</v>
      </c>
      <c r="C21" s="8" t="s">
        <v>147</v>
      </c>
      <c r="D21" s="8" t="s">
        <v>148</v>
      </c>
      <c r="E21" s="12" t="s">
        <v>182</v>
      </c>
      <c r="F21" s="13" t="n">
        <v>2</v>
      </c>
      <c r="G21" s="8" t="s">
        <v>151</v>
      </c>
      <c r="H21" s="8" t="s">
        <v>54</v>
      </c>
    </row>
    <row r="22" customFormat="false" ht="48" hidden="false" customHeight="true" outlineLevel="0" collapsed="false">
      <c r="B22" s="8" t="s">
        <v>79</v>
      </c>
      <c r="C22" s="8" t="s">
        <v>152</v>
      </c>
      <c r="D22" s="8" t="s">
        <v>153</v>
      </c>
      <c r="E22" s="12" t="s">
        <v>182</v>
      </c>
      <c r="F22" s="13" t="n">
        <v>2</v>
      </c>
      <c r="G22" s="8" t="s">
        <v>156</v>
      </c>
      <c r="H22" s="8" t="s">
        <v>85</v>
      </c>
    </row>
    <row r="23" customFormat="false" ht="48" hidden="false" customHeight="true" outlineLevel="0" collapsed="false">
      <c r="B23" s="8" t="s">
        <v>79</v>
      </c>
      <c r="C23" s="8" t="s">
        <v>74</v>
      </c>
      <c r="D23" s="8" t="s">
        <v>75</v>
      </c>
      <c r="E23" s="12" t="s">
        <v>183</v>
      </c>
      <c r="F23" s="13" t="n">
        <v>1</v>
      </c>
      <c r="G23" s="8" t="s">
        <v>78</v>
      </c>
      <c r="H23" s="8" t="s">
        <v>67</v>
      </c>
    </row>
    <row r="24" customFormat="false" ht="48" hidden="false" customHeight="true" outlineLevel="0" collapsed="false">
      <c r="B24" s="8" t="s">
        <v>79</v>
      </c>
      <c r="C24" s="8" t="s">
        <v>80</v>
      </c>
      <c r="D24" s="8" t="s">
        <v>81</v>
      </c>
      <c r="E24" s="12" t="s">
        <v>183</v>
      </c>
      <c r="F24" s="13" t="n">
        <v>1</v>
      </c>
      <c r="G24" s="8" t="s">
        <v>84</v>
      </c>
      <c r="H24" s="8" t="s">
        <v>85</v>
      </c>
    </row>
    <row r="25" customFormat="false" ht="48" hidden="false" customHeight="true" outlineLevel="0" collapsed="false">
      <c r="B25" s="8" t="s">
        <v>140</v>
      </c>
      <c r="C25" s="8" t="s">
        <v>135</v>
      </c>
      <c r="D25" s="8" t="s">
        <v>136</v>
      </c>
      <c r="E25" s="12" t="s">
        <v>182</v>
      </c>
      <c r="F25" s="13" t="n">
        <v>2</v>
      </c>
      <c r="G25" s="8" t="s">
        <v>139</v>
      </c>
      <c r="H25" s="8" t="s">
        <v>54</v>
      </c>
    </row>
    <row r="26" customFormat="false" ht="48" hidden="false" customHeight="true" outlineLevel="0" collapsed="false">
      <c r="B26" s="8" t="s">
        <v>140</v>
      </c>
      <c r="C26" s="8" t="s">
        <v>168</v>
      </c>
      <c r="D26" s="8" t="s">
        <v>169</v>
      </c>
      <c r="E26" s="12" t="s">
        <v>182</v>
      </c>
      <c r="F26" s="13" t="n">
        <v>2</v>
      </c>
      <c r="G26" s="8" t="s">
        <v>172</v>
      </c>
      <c r="H26" s="8" t="s">
        <v>85</v>
      </c>
    </row>
    <row r="27" customFormat="false" ht="48" hidden="false" customHeight="true" outlineLevel="0" collapsed="false">
      <c r="B27" s="8" t="s">
        <v>140</v>
      </c>
      <c r="C27" s="8" t="s">
        <v>157</v>
      </c>
      <c r="D27" s="8" t="s">
        <v>158</v>
      </c>
      <c r="E27" s="12" t="s">
        <v>183</v>
      </c>
      <c r="F27" s="13" t="n">
        <v>1</v>
      </c>
      <c r="G27" s="8" t="s">
        <v>161</v>
      </c>
      <c r="H27" s="8" t="s">
        <v>54</v>
      </c>
    </row>
  </sheetData>
  <autoFilter ref="B5:H27"/>
  <conditionalFormatting sqref="E6:E27">
    <cfRule type="cellIs" priority="2" operator="equal" aboveAverage="0" equalAverage="0" bottom="0" percent="0" rank="0" text="" dxfId="7">
      <formula>"None"</formula>
    </cfRule>
    <cfRule type="cellIs" priority="3" operator="equal" aboveAverage="0" equalAverage="0" bottom="0" percent="0" rank="0" text="" dxfId="8">
      <formula>"Low"</formula>
    </cfRule>
    <cfRule type="cellIs" priority="4" operator="equal" aboveAverage="0" equalAverage="0" bottom="0" percent="0" rank="0" text="" dxfId="9">
      <formula>"Medium"</formula>
    </cfRule>
    <cfRule type="cellIs" priority="5" operator="equal" aboveAverage="0" equalAverage="0" bottom="0" percent="0" rank="0" text="" dxfId="10">
      <formula>"High"</formula>
    </cfRule>
    <cfRule type="cellIs" priority="6" operator="equal" aboveAverage="0" equalAverage="0" bottom="0" percent="0" rank="0" text="" dxfId="11">
      <formula>"Critical"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2026-08-17T12:46:32Z</dcterms:created>
  <dc:creator>openpyxl</dc:creator>
  <dc:description/>
  <dc:language>en-US</dc:language>
  <cp:lastModifiedBy/>
  <dcterms:modified xsi:type="dcterms:W3CDTF">2026-08-17T12:47:52Z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